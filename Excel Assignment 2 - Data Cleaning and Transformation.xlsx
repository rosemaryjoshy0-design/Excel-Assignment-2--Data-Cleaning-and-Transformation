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josh\Downloads\"/>
    </mc:Choice>
  </mc:AlternateContent>
  <xr:revisionPtr revIDLastSave="0" documentId="13_ncr:1_{3B114A07-4795-41F7-BA07-C6C9603B1F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2" i="2"/>
  <c r="F7" i="2"/>
  <c r="F21" i="2"/>
  <c r="F26" i="2"/>
  <c r="F37" i="2"/>
</calcChain>
</file>

<file path=xl/sharedStrings.xml><?xml version="1.0" encoding="utf-8"?>
<sst xmlns="http://schemas.openxmlformats.org/spreadsheetml/2006/main" count="184" uniqueCount="132">
  <si>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</si>
  <si>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</si>
  <si>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</si>
  <si>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</si>
  <si>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</si>
  <si>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</si>
  <si>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</si>
  <si>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</si>
  <si>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</si>
  <si>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</si>
  <si>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</si>
  <si>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</si>
  <si>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</si>
  <si>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</si>
  <si>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</si>
  <si>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</si>
  <si>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</si>
  <si>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</si>
  <si>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</si>
  <si>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</si>
  <si>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</si>
  <si>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</si>
  <si>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</si>
  <si>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</si>
  <si>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</si>
  <si>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</si>
  <si>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</si>
  <si>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</si>
  <si>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</si>
  <si>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</si>
  <si>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</si>
  <si>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</si>
  <si>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</si>
  <si>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</si>
  <si>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</si>
  <si>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</si>
  <si>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</si>
  <si>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</si>
  <si>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</si>
  <si>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</si>
  <si>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</si>
  <si>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</si>
  <si>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</si>
  <si>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</si>
  <si>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</si>
  <si>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</si>
  <si>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</si>
  <si>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</si>
  <si>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</si>
  <si>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</si>
  <si>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</si>
  <si>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</si>
  <si>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</si>
  <si>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</si>
  <si>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</si>
  <si>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</si>
  <si>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</si>
  <si>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</si>
  <si>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</si>
  <si>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</si>
  <si>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</si>
  <si>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</si>
  <si>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</si>
  <si>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</si>
  <si>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</si>
  <si>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</si>
  <si>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</si>
  <si>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</si>
  <si>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</si>
  <si>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</si>
  <si>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</si>
  <si>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</si>
  <si>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</si>
  <si>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</si>
  <si>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</si>
  <si>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</si>
  <si>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</si>
  <si>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</si>
  <si>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</si>
  <si>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</si>
  <si>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</si>
  <si>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</si>
  <si>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</si>
  <si>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</si>
  <si>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</si>
  <si>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</si>
  <si>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</si>
  <si>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</si>
  <si>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</si>
  <si>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</si>
  <si>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</si>
  <si>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</si>
  <si>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</si>
  <si>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</si>
  <si>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</si>
  <si>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</si>
  <si>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</si>
  <si>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</si>
  <si>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</si>
  <si>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</si>
  <si>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</si>
  <si>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</si>
  <si>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</si>
  <si>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</si>
  <si>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</si>
  <si>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</si>
  <si>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</si>
  <si>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</si>
  <si>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</si>
  <si>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</si>
  <si>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</si>
  <si>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</si>
  <si>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</si>
  <si>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</si>
  <si>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</si>
  <si>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Product Name 1</t>
  </si>
  <si>
    <t>Country Code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</si>
  <si>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</si>
  <si>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</si>
  <si>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</si>
  <si>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</si>
  <si>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</si>
  <si>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</si>
  <si>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</si>
  <si>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</si>
  <si>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</si>
  <si>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</si>
  <si>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</si>
  <si>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</si>
  <si>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Manufacturing  Date</t>
  </si>
  <si>
    <t>Product Brand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</si>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</sst>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2809]#,##0.0"/>
    <numFmt numFmtId="165" formatCode="[$-F800]dddd\,\ mmmm\ dd\,\ yyyy"/>
  </numFmts>
  <fonts count="10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8" fillId="0" borderId="0" xfId="0" applyFont="1"/>
    <xf numFmtId="164" fontId="7" fillId="2" borderId="0" xfId="0" applyNumberFormat="1" applyFont="1" applyFill="1" applyAlignment="1">
      <alignment horizontal="center"/>
    </xf>
    <xf numFmtId="164" fontId="5" fillId="0" borderId="0" xfId="0" applyNumberFormat="1" applyFont="1"/>
    <xf numFmtId="164" fontId="5" fillId="3" borderId="0" xfId="0" applyNumberFormat="1" applyFont="1" applyFill="1"/>
    <xf numFmtId="165" fontId="7" fillId="2" borderId="0" xfId="0" applyNumberFormat="1" applyFont="1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2"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abSelected="1" workbookViewId="0">
      <selection activeCell="C10" sqref="C10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1000"/>
  <sheetViews>
    <sheetView topLeftCell="A15" workbookViewId="0">
      <selection activeCell="J32" sqref="J32"/>
    </sheetView>
  </sheetViews>
  <sheetFormatPr defaultColWidth="12.6640625" defaultRowHeight="15" customHeight="1" x14ac:dyDescent="0.25"/>
  <cols>
    <col min="1" max="8" width="12.6640625" customWidth="1"/>
    <col min="9" max="9" width="17" bestFit="1" customWidth="1"/>
  </cols>
  <sheetData>
    <row r="1" spans="1:18" ht="15.75" customHeight="1" x14ac:dyDescent="0.25">
      <c r="A1" s="7" t="s">
        <v>19</v>
      </c>
      <c r="B1" s="7" t="s">
        <v>20</v>
      </c>
      <c r="C1" s="7" t="s">
        <v>115</v>
      </c>
      <c r="D1" s="7" t="s">
        <v>21</v>
      </c>
      <c r="E1" s="7" t="s">
        <v>130</v>
      </c>
      <c r="F1" s="10" t="s">
        <v>22</v>
      </c>
      <c r="G1" s="7" t="s">
        <v>23</v>
      </c>
      <c r="H1" s="7" t="s">
        <v>24</v>
      </c>
      <c r="I1" s="13" t="s">
        <v>129</v>
      </c>
      <c r="J1" s="7" t="s">
        <v>116</v>
      </c>
    </row>
    <row r="2" spans="1:18" ht="15.75" customHeight="1" x14ac:dyDescent="0.25">
      <c r="A2" s="5" t="s">
        <v>25</v>
      </c>
      <c r="B2" s="5" t="s">
        <v>26</v>
      </c>
      <c r="C2" s="5" t="str">
        <f t="shared" ref="C2:C32" si="0">PROPER(B2)</f>
        <v>Laptop</v>
      </c>
      <c r="D2" s="5" t="s">
        <v>27</v>
      </c>
      <c r="E2" s="5" t="str">
        <f>D2&amp;"-"&amp;C2</f>
        <v>Dell-Laptop</v>
      </c>
      <c r="F2" s="11">
        <v>1000</v>
      </c>
      <c r="G2" s="5">
        <v>30</v>
      </c>
      <c r="H2" s="5" t="s">
        <v>28</v>
      </c>
      <c r="I2" s="14">
        <v>46050</v>
      </c>
      <c r="J2" s="9" t="s">
        <v>117</v>
      </c>
    </row>
    <row r="3" spans="1:18" ht="15.75" customHeight="1" x14ac:dyDescent="0.3">
      <c r="A3" s="8" t="s">
        <v>29</v>
      </c>
      <c r="B3" s="8" t="s">
        <v>30</v>
      </c>
      <c r="C3" s="5" t="str">
        <f t="shared" si="0"/>
        <v>Sneakers</v>
      </c>
      <c r="D3" s="8" t="s">
        <v>31</v>
      </c>
      <c r="E3" s="5" t="str">
        <f t="shared" ref="E3:E32" si="1">D3&amp;"-"&amp;C3</f>
        <v>Nike-Sneakers</v>
      </c>
      <c r="F3" s="12">
        <v>80</v>
      </c>
      <c r="G3" s="8">
        <v>15</v>
      </c>
      <c r="H3" s="8" t="s">
        <v>32</v>
      </c>
      <c r="I3" s="14">
        <v>46068</v>
      </c>
      <c r="J3" s="9" t="s">
        <v>117</v>
      </c>
      <c r="K3" s="2"/>
      <c r="L3" s="5"/>
      <c r="M3" s="5"/>
      <c r="N3" s="5"/>
      <c r="O3" s="5"/>
      <c r="P3" s="5"/>
      <c r="Q3" s="5"/>
      <c r="R3" s="5"/>
    </row>
    <row r="4" spans="1:18" ht="15.75" customHeight="1" x14ac:dyDescent="0.3">
      <c r="A4" s="5" t="s">
        <v>33</v>
      </c>
      <c r="B4" s="5" t="s">
        <v>34</v>
      </c>
      <c r="C4" s="5" t="str">
        <f t="shared" si="0"/>
        <v>Coffee Maker</v>
      </c>
      <c r="D4" s="5" t="s">
        <v>35</v>
      </c>
      <c r="E4" s="5" t="str">
        <f t="shared" si="1"/>
        <v>Keurig-Coffee Maker</v>
      </c>
      <c r="F4" s="11">
        <v>130</v>
      </c>
      <c r="G4" s="5">
        <v>40</v>
      </c>
      <c r="H4" s="5" t="s">
        <v>36</v>
      </c>
      <c r="I4" s="14">
        <v>46084</v>
      </c>
      <c r="J4" s="9" t="s">
        <v>117</v>
      </c>
      <c r="K4" s="5"/>
      <c r="L4" s="3"/>
      <c r="M4" s="5"/>
      <c r="N4" s="5"/>
      <c r="O4" s="5"/>
      <c r="P4" s="5"/>
      <c r="Q4" s="5"/>
      <c r="R4" s="5"/>
    </row>
    <row r="5" spans="1:18" ht="15.75" customHeight="1" x14ac:dyDescent="0.3">
      <c r="A5" s="8" t="s">
        <v>37</v>
      </c>
      <c r="B5" s="8" t="s">
        <v>38</v>
      </c>
      <c r="C5" s="5" t="str">
        <f t="shared" si="0"/>
        <v>Smartphone</v>
      </c>
      <c r="D5" s="8" t="s">
        <v>39</v>
      </c>
      <c r="E5" s="5" t="str">
        <f t="shared" si="1"/>
        <v>Samsung-Smartphone</v>
      </c>
      <c r="F5" s="12">
        <v>900</v>
      </c>
      <c r="G5" s="8">
        <v>25</v>
      </c>
      <c r="H5" s="8" t="s">
        <v>28</v>
      </c>
      <c r="I5" s="14">
        <v>46123</v>
      </c>
      <c r="J5" s="9" t="s">
        <v>117</v>
      </c>
      <c r="K5" s="5"/>
      <c r="L5" s="3"/>
      <c r="M5" s="5"/>
      <c r="N5" s="5"/>
      <c r="O5" s="5"/>
      <c r="P5" s="5"/>
      <c r="Q5" s="5"/>
      <c r="R5" s="5"/>
    </row>
    <row r="6" spans="1:18" ht="15.75" customHeight="1" x14ac:dyDescent="0.25">
      <c r="A6" s="5" t="s">
        <v>40</v>
      </c>
      <c r="B6" s="5" t="s">
        <v>41</v>
      </c>
      <c r="C6" s="5" t="str">
        <f t="shared" si="0"/>
        <v>Backpack</v>
      </c>
      <c r="D6" s="5" t="s">
        <v>42</v>
      </c>
      <c r="E6" s="5" t="str">
        <f t="shared" si="1"/>
        <v>North Face-Backpack</v>
      </c>
      <c r="F6" s="11">
        <v>70</v>
      </c>
      <c r="G6" s="5">
        <v>20</v>
      </c>
      <c r="H6" s="5" t="s">
        <v>131</v>
      </c>
      <c r="I6" s="14">
        <v>46164</v>
      </c>
      <c r="J6" s="9" t="s">
        <v>117</v>
      </c>
    </row>
    <row r="7" spans="1:18" ht="15.75" customHeight="1" x14ac:dyDescent="0.25">
      <c r="A7" s="8" t="s">
        <v>43</v>
      </c>
      <c r="B7" s="8" t="s">
        <v>44</v>
      </c>
      <c r="C7" s="5" t="str">
        <f t="shared" si="0"/>
        <v>Headphones</v>
      </c>
      <c r="D7" s="8" t="s">
        <v>45</v>
      </c>
      <c r="E7" s="5" t="str">
        <f t="shared" si="1"/>
        <v>Sony-Headphones</v>
      </c>
      <c r="F7" s="12">
        <f>309.3</f>
        <v>309.3</v>
      </c>
      <c r="G7" s="8">
        <v>45</v>
      </c>
      <c r="H7" s="8" t="s">
        <v>28</v>
      </c>
      <c r="I7" s="14">
        <v>46180</v>
      </c>
      <c r="J7" s="9" t="s">
        <v>118</v>
      </c>
    </row>
    <row r="8" spans="1:18" ht="15.75" customHeight="1" x14ac:dyDescent="0.25">
      <c r="A8" s="5" t="s">
        <v>46</v>
      </c>
      <c r="B8" s="5" t="s">
        <v>47</v>
      </c>
      <c r="C8" s="5" t="str">
        <f t="shared" si="0"/>
        <v>T-Shirt</v>
      </c>
      <c r="D8" s="5" t="s">
        <v>48</v>
      </c>
      <c r="E8" s="5" t="str">
        <f t="shared" si="1"/>
        <v>Adidas-T-Shirt</v>
      </c>
      <c r="F8" s="11">
        <v>30</v>
      </c>
      <c r="G8" s="5">
        <v>5</v>
      </c>
      <c r="H8" s="5" t="s">
        <v>32</v>
      </c>
      <c r="I8" s="14">
        <v>46222</v>
      </c>
      <c r="J8" s="9" t="s">
        <v>118</v>
      </c>
    </row>
    <row r="9" spans="1:18" ht="15.75" customHeight="1" x14ac:dyDescent="0.25">
      <c r="A9" s="8" t="s">
        <v>49</v>
      </c>
      <c r="B9" s="8" t="s">
        <v>50</v>
      </c>
      <c r="C9" s="5" t="str">
        <f t="shared" si="0"/>
        <v>Blender</v>
      </c>
      <c r="D9" s="8" t="s">
        <v>51</v>
      </c>
      <c r="E9" s="5" t="str">
        <f t="shared" si="1"/>
        <v>Ninja-Blender</v>
      </c>
      <c r="F9" s="12">
        <v>90</v>
      </c>
      <c r="G9" s="8">
        <v>35</v>
      </c>
      <c r="H9" s="8" t="s">
        <v>36</v>
      </c>
      <c r="I9" s="14">
        <v>46257</v>
      </c>
      <c r="J9" s="9" t="s">
        <v>118</v>
      </c>
    </row>
    <row r="10" spans="1:18" ht="15.75" customHeight="1" x14ac:dyDescent="0.25">
      <c r="A10" s="5" t="s">
        <v>52</v>
      </c>
      <c r="B10" s="5" t="s">
        <v>53</v>
      </c>
      <c r="C10" s="5" t="str">
        <f t="shared" si="0"/>
        <v>Tablet</v>
      </c>
      <c r="D10" s="5" t="s">
        <v>54</v>
      </c>
      <c r="E10" s="5" t="str">
        <f t="shared" si="1"/>
        <v>Apple-Tablet</v>
      </c>
      <c r="F10" s="11">
        <v>500</v>
      </c>
      <c r="G10" s="5">
        <v>50</v>
      </c>
      <c r="H10" s="5" t="s">
        <v>28</v>
      </c>
      <c r="I10" s="14">
        <v>46270</v>
      </c>
      <c r="J10" s="9" t="s">
        <v>118</v>
      </c>
    </row>
    <row r="11" spans="1:18" ht="15.75" customHeight="1" x14ac:dyDescent="0.25">
      <c r="A11" s="8" t="s">
        <v>55</v>
      </c>
      <c r="B11" s="8" t="s">
        <v>56</v>
      </c>
      <c r="C11" s="5" t="str">
        <f t="shared" si="0"/>
        <v>Hiking Boots</v>
      </c>
      <c r="D11" s="8" t="s">
        <v>57</v>
      </c>
      <c r="E11" s="5" t="str">
        <f t="shared" si="1"/>
        <v>Timberland-Hiking Boots</v>
      </c>
      <c r="F11" s="12">
        <v>130</v>
      </c>
      <c r="G11" s="8">
        <v>10</v>
      </c>
      <c r="H11" s="8" t="s">
        <v>58</v>
      </c>
      <c r="I11" s="14">
        <v>46309</v>
      </c>
      <c r="J11" s="9" t="s">
        <v>118</v>
      </c>
    </row>
    <row r="12" spans="1:18" ht="15.75" customHeight="1" x14ac:dyDescent="0.25">
      <c r="A12" s="5" t="s">
        <v>59</v>
      </c>
      <c r="B12" s="5" t="s">
        <v>60</v>
      </c>
      <c r="C12" s="5" t="str">
        <f t="shared" si="0"/>
        <v>Laptop</v>
      </c>
      <c r="D12" s="5" t="s">
        <v>61</v>
      </c>
      <c r="E12" s="5" t="str">
        <f t="shared" si="1"/>
        <v>HP-Laptop</v>
      </c>
      <c r="F12" s="11">
        <v>950</v>
      </c>
      <c r="G12" s="5">
        <v>25</v>
      </c>
      <c r="H12" s="5" t="s">
        <v>28</v>
      </c>
      <c r="I12" s="14">
        <v>46190</v>
      </c>
      <c r="J12" s="9" t="s">
        <v>119</v>
      </c>
    </row>
    <row r="13" spans="1:18" ht="15.75" customHeight="1" x14ac:dyDescent="0.25">
      <c r="A13" s="8" t="s">
        <v>62</v>
      </c>
      <c r="B13" s="8" t="s">
        <v>30</v>
      </c>
      <c r="C13" s="5" t="str">
        <f t="shared" si="0"/>
        <v>Sneakers</v>
      </c>
      <c r="D13" s="8" t="s">
        <v>48</v>
      </c>
      <c r="E13" s="5" t="str">
        <f t="shared" si="1"/>
        <v>Adidas-Sneakers</v>
      </c>
      <c r="F13" s="12">
        <v>90</v>
      </c>
      <c r="G13" s="8">
        <v>40</v>
      </c>
      <c r="H13" s="8" t="s">
        <v>131</v>
      </c>
      <c r="I13" s="14">
        <v>46351</v>
      </c>
      <c r="J13" s="9" t="s">
        <v>120</v>
      </c>
    </row>
    <row r="14" spans="1:18" ht="15.75" customHeight="1" x14ac:dyDescent="0.25">
      <c r="A14" s="5" t="s">
        <v>63</v>
      </c>
      <c r="B14" s="5" t="s">
        <v>34</v>
      </c>
      <c r="C14" s="5" t="str">
        <f t="shared" si="0"/>
        <v>Coffee Maker</v>
      </c>
      <c r="D14" s="5" t="s">
        <v>64</v>
      </c>
      <c r="E14" s="5" t="str">
        <f t="shared" si="1"/>
        <v>Nespresso-Coffee Maker</v>
      </c>
      <c r="F14" s="11">
        <v>120</v>
      </c>
      <c r="G14" s="5">
        <v>35</v>
      </c>
      <c r="H14" s="5" t="s">
        <v>131</v>
      </c>
      <c r="I14" s="14">
        <v>46364</v>
      </c>
      <c r="J14" s="9" t="s">
        <v>121</v>
      </c>
    </row>
    <row r="15" spans="1:18" ht="15.75" customHeight="1" x14ac:dyDescent="0.25">
      <c r="A15" s="8" t="s">
        <v>65</v>
      </c>
      <c r="B15" s="8" t="s">
        <v>66</v>
      </c>
      <c r="C15" s="5" t="str">
        <f t="shared" si="0"/>
        <v>Smartwatch</v>
      </c>
      <c r="D15" s="8" t="s">
        <v>67</v>
      </c>
      <c r="E15" s="5" t="str">
        <f t="shared" si="1"/>
        <v>Fitbit-Smartwatch</v>
      </c>
      <c r="F15" s="12">
        <v>150</v>
      </c>
      <c r="G15" s="8">
        <v>15</v>
      </c>
      <c r="H15" s="8" t="s">
        <v>28</v>
      </c>
      <c r="I15" s="14">
        <v>46071</v>
      </c>
      <c r="J15" s="9" t="s">
        <v>122</v>
      </c>
    </row>
    <row r="16" spans="1:18" ht="15.75" customHeight="1" x14ac:dyDescent="0.25">
      <c r="A16" s="5" t="s">
        <v>68</v>
      </c>
      <c r="B16" s="5" t="s">
        <v>69</v>
      </c>
      <c r="C16" s="5" t="str">
        <f t="shared" si="0"/>
        <v>Headphones</v>
      </c>
      <c r="D16" s="5" t="s">
        <v>70</v>
      </c>
      <c r="E16" s="5" t="str">
        <f t="shared" si="1"/>
        <v>Bose-Headphones</v>
      </c>
      <c r="F16" s="11">
        <v>250</v>
      </c>
      <c r="G16" s="5">
        <v>20</v>
      </c>
      <c r="H16" s="5" t="s">
        <v>28</v>
      </c>
      <c r="I16" s="14">
        <v>46128</v>
      </c>
      <c r="J16" s="9" t="s">
        <v>123</v>
      </c>
    </row>
    <row r="17" spans="1:10" ht="15.75" customHeight="1" x14ac:dyDescent="0.25">
      <c r="A17" s="8" t="s">
        <v>71</v>
      </c>
      <c r="B17" s="8" t="s">
        <v>72</v>
      </c>
      <c r="C17" s="5" t="str">
        <f t="shared" si="0"/>
        <v>Laptop Bag</v>
      </c>
      <c r="D17" s="8" t="s">
        <v>73</v>
      </c>
      <c r="E17" s="5" t="str">
        <f t="shared" si="1"/>
        <v>Samsonite-Laptop Bag</v>
      </c>
      <c r="F17" s="12">
        <v>50</v>
      </c>
      <c r="G17" s="8">
        <v>35</v>
      </c>
      <c r="H17" s="8" t="s">
        <v>74</v>
      </c>
      <c r="I17" s="14">
        <v>46255</v>
      </c>
      <c r="J17" s="9" t="s">
        <v>122</v>
      </c>
    </row>
    <row r="18" spans="1:10" ht="15.75" customHeight="1" x14ac:dyDescent="0.25">
      <c r="A18" s="5" t="s">
        <v>75</v>
      </c>
      <c r="B18" s="5" t="s">
        <v>66</v>
      </c>
      <c r="C18" s="5" t="str">
        <f t="shared" si="0"/>
        <v>Smartwatch</v>
      </c>
      <c r="D18" s="5" t="s">
        <v>76</v>
      </c>
      <c r="E18" s="5" t="str">
        <f t="shared" si="1"/>
        <v>Huawei-Smartwatch</v>
      </c>
      <c r="F18" s="11">
        <v>160</v>
      </c>
      <c r="G18" s="5">
        <v>15</v>
      </c>
      <c r="H18" s="5" t="s">
        <v>28</v>
      </c>
      <c r="I18" s="14">
        <v>46254</v>
      </c>
      <c r="J18" s="9" t="s">
        <v>124</v>
      </c>
    </row>
    <row r="19" spans="1:10" ht="15.75" customHeight="1" x14ac:dyDescent="0.25">
      <c r="A19" s="8" t="s">
        <v>77</v>
      </c>
      <c r="B19" s="8" t="s">
        <v>26</v>
      </c>
      <c r="C19" s="5" t="str">
        <f t="shared" si="0"/>
        <v>Laptop</v>
      </c>
      <c r="D19" s="8" t="s">
        <v>78</v>
      </c>
      <c r="E19" s="5" t="str">
        <f t="shared" si="1"/>
        <v>Asus-Laptop</v>
      </c>
      <c r="F19" s="12">
        <v>980</v>
      </c>
      <c r="G19" s="8">
        <v>10</v>
      </c>
      <c r="H19" s="8" t="s">
        <v>28</v>
      </c>
      <c r="I19" s="14">
        <v>46049</v>
      </c>
      <c r="J19" s="9" t="s">
        <v>125</v>
      </c>
    </row>
    <row r="20" spans="1:10" ht="15.75" customHeight="1" x14ac:dyDescent="0.25">
      <c r="A20" s="5" t="s">
        <v>79</v>
      </c>
      <c r="B20" s="5" t="s">
        <v>80</v>
      </c>
      <c r="C20" s="5" t="str">
        <f t="shared" si="0"/>
        <v>Sunglasses</v>
      </c>
      <c r="D20" s="5" t="s">
        <v>81</v>
      </c>
      <c r="E20" s="5" t="str">
        <f t="shared" si="1"/>
        <v>Oakley-Sunglasses</v>
      </c>
      <c r="F20" s="11">
        <v>150</v>
      </c>
      <c r="G20" s="5">
        <v>15</v>
      </c>
      <c r="H20" s="5" t="s">
        <v>32</v>
      </c>
      <c r="I20" s="14">
        <v>46082</v>
      </c>
      <c r="J20" s="9" t="s">
        <v>118</v>
      </c>
    </row>
    <row r="21" spans="1:10" ht="15.75" customHeight="1" x14ac:dyDescent="0.25">
      <c r="A21" s="8" t="s">
        <v>82</v>
      </c>
      <c r="B21" s="8" t="s">
        <v>83</v>
      </c>
      <c r="C21" s="5" t="str">
        <f t="shared" si="0"/>
        <v>Camping Tent</v>
      </c>
      <c r="D21" s="8" t="s">
        <v>84</v>
      </c>
      <c r="E21" s="5" t="str">
        <f t="shared" si="1"/>
        <v>Coleman-Camping Tent</v>
      </c>
      <c r="F21" s="12">
        <f>309.3</f>
        <v>309.3</v>
      </c>
      <c r="G21" s="8">
        <v>10</v>
      </c>
      <c r="H21" s="8" t="s">
        <v>58</v>
      </c>
      <c r="I21" s="14">
        <v>46248</v>
      </c>
      <c r="J21" s="9" t="s">
        <v>117</v>
      </c>
    </row>
    <row r="22" spans="1:10" ht="15.75" customHeight="1" x14ac:dyDescent="0.25">
      <c r="A22" s="5" t="s">
        <v>85</v>
      </c>
      <c r="B22" s="5" t="s">
        <v>86</v>
      </c>
      <c r="C22" s="5" t="str">
        <f t="shared" si="0"/>
        <v>Camera</v>
      </c>
      <c r="D22" s="5" t="s">
        <v>87</v>
      </c>
      <c r="E22" s="5" t="str">
        <f t="shared" si="1"/>
        <v>Nikon-Camera</v>
      </c>
      <c r="F22" s="11">
        <v>700</v>
      </c>
      <c r="G22" s="5">
        <v>50</v>
      </c>
      <c r="H22" s="5" t="s">
        <v>28</v>
      </c>
      <c r="I22" s="14">
        <v>46156</v>
      </c>
      <c r="J22" s="9" t="s">
        <v>126</v>
      </c>
    </row>
    <row r="23" spans="1:10" ht="15.75" customHeight="1" x14ac:dyDescent="0.25">
      <c r="A23" s="8" t="s">
        <v>88</v>
      </c>
      <c r="B23" s="8" t="s">
        <v>89</v>
      </c>
      <c r="C23" s="5" t="str">
        <f t="shared" si="0"/>
        <v>Microwave</v>
      </c>
      <c r="D23" s="8" t="s">
        <v>90</v>
      </c>
      <c r="E23" s="5" t="str">
        <f t="shared" si="1"/>
        <v>Panasonic-Microwave</v>
      </c>
      <c r="F23" s="12">
        <v>80</v>
      </c>
      <c r="G23" s="8">
        <v>20</v>
      </c>
      <c r="H23" s="8" t="s">
        <v>36</v>
      </c>
      <c r="I23" s="14">
        <v>46031</v>
      </c>
      <c r="J23" s="9" t="s">
        <v>122</v>
      </c>
    </row>
    <row r="24" spans="1:10" ht="15.75" customHeight="1" x14ac:dyDescent="0.25">
      <c r="A24" s="5" t="s">
        <v>91</v>
      </c>
      <c r="B24" s="5" t="s">
        <v>92</v>
      </c>
      <c r="C24" s="5" t="str">
        <f t="shared" si="0"/>
        <v>Fitness Tracker</v>
      </c>
      <c r="D24" s="5" t="s">
        <v>93</v>
      </c>
      <c r="E24" s="5" t="str">
        <f t="shared" si="1"/>
        <v>Xiaomi-Fitness Tracker</v>
      </c>
      <c r="F24" s="11">
        <v>150</v>
      </c>
      <c r="G24" s="5">
        <v>30</v>
      </c>
      <c r="H24" s="5" t="s">
        <v>131</v>
      </c>
      <c r="I24" s="14">
        <v>46222</v>
      </c>
      <c r="J24" s="9" t="s">
        <v>127</v>
      </c>
    </row>
    <row r="25" spans="1:10" ht="15.75" customHeight="1" x14ac:dyDescent="0.25">
      <c r="A25" s="5" t="s">
        <v>94</v>
      </c>
      <c r="B25" s="5" t="s">
        <v>95</v>
      </c>
      <c r="C25" s="5" t="str">
        <f t="shared" si="0"/>
        <v>Smartphone</v>
      </c>
      <c r="D25" s="5" t="s">
        <v>96</v>
      </c>
      <c r="E25" s="5" t="str">
        <f t="shared" si="1"/>
        <v>Google-Smartphone</v>
      </c>
      <c r="F25" s="11">
        <v>800</v>
      </c>
      <c r="G25" s="5">
        <v>45</v>
      </c>
      <c r="H25" s="5" t="s">
        <v>28</v>
      </c>
      <c r="I25" s="14">
        <v>46294</v>
      </c>
      <c r="J25" s="9" t="s">
        <v>122</v>
      </c>
    </row>
    <row r="26" spans="1:10" ht="15.75" customHeight="1" x14ac:dyDescent="0.25">
      <c r="A26" s="8" t="s">
        <v>97</v>
      </c>
      <c r="B26" s="8" t="s">
        <v>80</v>
      </c>
      <c r="C26" s="5" t="str">
        <f t="shared" si="0"/>
        <v>Sunglasses</v>
      </c>
      <c r="D26" s="8" t="s">
        <v>98</v>
      </c>
      <c r="E26" s="5" t="str">
        <f t="shared" si="1"/>
        <v>Ray-Ban-Sunglasses</v>
      </c>
      <c r="F26" s="12">
        <f>309.3</f>
        <v>309.3</v>
      </c>
      <c r="G26" s="8">
        <v>25</v>
      </c>
      <c r="H26" s="8" t="s">
        <v>32</v>
      </c>
      <c r="I26" s="14">
        <v>46176</v>
      </c>
      <c r="J26" s="9" t="s">
        <v>122</v>
      </c>
    </row>
    <row r="27" spans="1:10" ht="15.75" customHeight="1" x14ac:dyDescent="0.25">
      <c r="A27" s="5" t="s">
        <v>99</v>
      </c>
      <c r="B27" s="5" t="s">
        <v>50</v>
      </c>
      <c r="C27" s="5" t="str">
        <f t="shared" si="0"/>
        <v>Blender</v>
      </c>
      <c r="D27" s="5" t="s">
        <v>100</v>
      </c>
      <c r="E27" s="5" t="str">
        <f t="shared" si="1"/>
        <v>Vitamix-Blender</v>
      </c>
      <c r="F27" s="11">
        <v>400</v>
      </c>
      <c r="G27" s="5">
        <v>40</v>
      </c>
      <c r="H27" s="5" t="s">
        <v>36</v>
      </c>
      <c r="I27" s="14">
        <v>46214</v>
      </c>
      <c r="J27" s="9" t="s">
        <v>122</v>
      </c>
    </row>
    <row r="28" spans="1:10" ht="15.75" customHeight="1" x14ac:dyDescent="0.25">
      <c r="A28" s="5" t="s">
        <v>101</v>
      </c>
      <c r="B28" s="5" t="s">
        <v>102</v>
      </c>
      <c r="C28" s="5" t="str">
        <f t="shared" si="0"/>
        <v>Dress</v>
      </c>
      <c r="D28" s="5" t="s">
        <v>103</v>
      </c>
      <c r="E28" s="5" t="str">
        <f t="shared" si="1"/>
        <v>Zara-Dress</v>
      </c>
      <c r="F28" s="11">
        <v>60</v>
      </c>
      <c r="G28" s="5">
        <v>30</v>
      </c>
      <c r="H28" s="5" t="s">
        <v>32</v>
      </c>
      <c r="I28" s="14">
        <v>46088</v>
      </c>
      <c r="J28" s="9" t="s">
        <v>122</v>
      </c>
    </row>
    <row r="29" spans="1:10" ht="15.75" customHeight="1" x14ac:dyDescent="0.25">
      <c r="A29" s="8" t="s">
        <v>104</v>
      </c>
      <c r="B29" s="8" t="s">
        <v>105</v>
      </c>
      <c r="C29" s="5" t="str">
        <f t="shared" si="0"/>
        <v>Toaster</v>
      </c>
      <c r="D29" s="8" t="s">
        <v>106</v>
      </c>
      <c r="E29" s="5" t="str">
        <f t="shared" si="1"/>
        <v>Hamilton-Toaster</v>
      </c>
      <c r="F29" s="12">
        <v>40</v>
      </c>
      <c r="G29" s="8">
        <v>10</v>
      </c>
      <c r="H29" s="8" t="s">
        <v>36</v>
      </c>
      <c r="I29" s="14">
        <v>46125</v>
      </c>
      <c r="J29" s="9" t="s">
        <v>122</v>
      </c>
    </row>
    <row r="30" spans="1:10" ht="15.75" customHeight="1" x14ac:dyDescent="0.25">
      <c r="A30" s="5" t="s">
        <v>107</v>
      </c>
      <c r="B30" s="5" t="s">
        <v>92</v>
      </c>
      <c r="C30" s="5" t="str">
        <f t="shared" si="0"/>
        <v>Fitness Tracker</v>
      </c>
      <c r="D30" s="5" t="s">
        <v>108</v>
      </c>
      <c r="E30" s="5" t="str">
        <f t="shared" si="1"/>
        <v>Garmin-Fitness Tracker</v>
      </c>
      <c r="F30" s="11">
        <v>130</v>
      </c>
      <c r="G30" s="5">
        <v>5</v>
      </c>
      <c r="H30" s="5" t="s">
        <v>28</v>
      </c>
      <c r="I30" s="14">
        <v>46166</v>
      </c>
      <c r="J30" s="9" t="s">
        <v>122</v>
      </c>
    </row>
    <row r="31" spans="1:10" ht="15.75" customHeight="1" x14ac:dyDescent="0.25">
      <c r="A31" s="8" t="s">
        <v>109</v>
      </c>
      <c r="B31" s="8" t="s">
        <v>110</v>
      </c>
      <c r="C31" s="5" t="str">
        <f t="shared" si="0"/>
        <v>Jeans</v>
      </c>
      <c r="D31" s="8" t="s">
        <v>111</v>
      </c>
      <c r="E31" s="5" t="str">
        <f t="shared" si="1"/>
        <v>Levi's-Jeans</v>
      </c>
      <c r="F31" s="12">
        <v>50</v>
      </c>
      <c r="G31" s="8">
        <v>50</v>
      </c>
      <c r="H31" s="8" t="s">
        <v>32</v>
      </c>
      <c r="I31" s="14">
        <v>46358</v>
      </c>
      <c r="J31" s="9" t="s">
        <v>122</v>
      </c>
    </row>
    <row r="32" spans="1:10" ht="15.75" customHeight="1" x14ac:dyDescent="0.25">
      <c r="A32" s="8" t="s">
        <v>112</v>
      </c>
      <c r="B32" s="8" t="s">
        <v>113</v>
      </c>
      <c r="C32" s="5" t="str">
        <f t="shared" si="0"/>
        <v>Watch</v>
      </c>
      <c r="D32" s="8" t="s">
        <v>114</v>
      </c>
      <c r="E32" s="5" t="str">
        <f t="shared" si="1"/>
        <v>Casio-Watch</v>
      </c>
      <c r="F32" s="12">
        <v>100</v>
      </c>
      <c r="G32" s="8">
        <v>20</v>
      </c>
      <c r="H32" s="8" t="s">
        <v>74</v>
      </c>
      <c r="I32" s="14">
        <v>46212</v>
      </c>
      <c r="J32" s="9" t="s">
        <v>128</v>
      </c>
    </row>
    <row r="33" spans="6:6" ht="15.75" customHeight="1" x14ac:dyDescent="0.25"/>
    <row r="34" spans="6:6" ht="15.75" customHeight="1" x14ac:dyDescent="0.25"/>
    <row r="35" spans="6:6" ht="15.75" customHeight="1" x14ac:dyDescent="0.25"/>
    <row r="36" spans="6:6" ht="15.75" customHeight="1" x14ac:dyDescent="0.25"/>
    <row r="37" spans="6:6" ht="15.75" customHeight="1" x14ac:dyDescent="0.25">
      <c r="F37">
        <f>AVERAGE(F2:F35)</f>
        <v>298.96451612903223</v>
      </c>
    </row>
    <row r="38" spans="6:6" ht="15.75" customHeight="1" x14ac:dyDescent="0.25"/>
    <row r="39" spans="6:6" ht="15.75" customHeight="1" x14ac:dyDescent="0.25"/>
    <row r="40" spans="6:6" ht="15.75" customHeight="1" x14ac:dyDescent="0.25"/>
    <row r="41" spans="6:6" ht="15.75" customHeight="1" x14ac:dyDescent="0.25"/>
    <row r="42" spans="6:6" ht="15.75" customHeight="1" x14ac:dyDescent="0.25"/>
    <row r="43" spans="6:6" ht="15.75" customHeight="1" x14ac:dyDescent="0.25"/>
    <row r="44" spans="6:6" ht="15.75" customHeight="1" x14ac:dyDescent="0.25"/>
    <row r="45" spans="6:6" ht="15.75" customHeight="1" x14ac:dyDescent="0.25"/>
    <row r="46" spans="6:6" ht="15.75" customHeight="1" x14ac:dyDescent="0.25"/>
    <row r="47" spans="6:6" ht="15.75" customHeight="1" x14ac:dyDescent="0.25"/>
    <row r="48" spans="6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9" type="noConversion"/>
  <conditionalFormatting sqref="F2:F32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{A9262964-42B3-4863-9FAB-0772D397C9B6}</x14:id>
        </ext>
      </extLst>
    </cfRule>
  </conditionalFormatting>
  <conditionalFormatting sqref="H2:H32">
    <cfRule type="containsText" dxfId="1" priority="3" operator="containsText" text="Electronics">
      <formula>NOT(ISERROR(SEARCH("Electronics",H2)))</formula>
    </cfRule>
  </conditionalFormatting>
  <conditionalFormatting sqref="A1:J32">
    <cfRule type="expression" dxfId="0" priority="1">
      <formula>$H1="ELECTRONICS"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9262964-42B3-4863-9FAB-0772D397C9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Joyal Joshy</cp:lastModifiedBy>
  <dcterms:modified xsi:type="dcterms:W3CDTF">2026-09-22T12:07:06Z</dcterms:modified>
</cp:coreProperties>
</file>